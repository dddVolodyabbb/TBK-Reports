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\TBK Report - second laptop\templates\"/>
    </mc:Choice>
  </mc:AlternateContent>
  <bookViews>
    <workbookView xWindow="0" yWindow="0" windowWidth="24756" windowHeight="11112"/>
  </bookViews>
  <sheets>
    <sheet name="Лист1" sheetId="1" r:id="rId1"/>
    <sheet name="Лист2" sheetId="2" r:id="rId2"/>
  </sheets>
  <definedNames>
    <definedName name="_xlnm._FilterDatabase" localSheetId="1" hidden="1">Лист2!$A$1:$F$34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A29" i="1" l="1"/>
  <c r="K22" i="1"/>
  <c r="K23" i="1"/>
  <c r="K21" i="1"/>
  <c r="K20" i="1"/>
  <c r="A36" i="1" l="1"/>
  <c r="G3" i="2"/>
  <c r="D3" i="2"/>
  <c r="E3" i="2"/>
  <c r="B3" i="2"/>
  <c r="K24" i="1"/>
  <c r="A2" i="2"/>
  <c r="A1" i="2"/>
  <c r="G24" i="1"/>
  <c r="C24" i="1"/>
</calcChain>
</file>

<file path=xl/sharedStrings.xml><?xml version="1.0" encoding="utf-8"?>
<sst xmlns="http://schemas.openxmlformats.org/spreadsheetml/2006/main" count="79" uniqueCount="53">
  <si>
    <t>Дата:</t>
  </si>
  <si>
    <t>Заказчик:</t>
  </si>
  <si>
    <t>АО «СТНГ»</t>
  </si>
  <si>
    <t>Обустройство ТЮНГКМ</t>
  </si>
  <si>
    <t>Первая смена</t>
  </si>
  <si>
    <t>Вторая смена</t>
  </si>
  <si>
    <t>Общая информация</t>
  </si>
  <si>
    <t>Техник:</t>
  </si>
  <si>
    <t>1-й стык №</t>
  </si>
  <si>
    <t>Старт</t>
  </si>
  <si>
    <t>Последний  стык №</t>
  </si>
  <si>
    <t>Последний  стык№</t>
  </si>
  <si>
    <t>Стоп</t>
  </si>
  <si>
    <t>Сварено за смену</t>
  </si>
  <si>
    <t>Сварено за сутки</t>
  </si>
  <si>
    <t>Сварено за месяц</t>
  </si>
  <si>
    <t>Сварено за  месяц</t>
  </si>
  <si>
    <t>Ремонтов за смену</t>
  </si>
  <si>
    <t>Ремонтов за месяц</t>
  </si>
  <si>
    <t>% ремонтов за месяц</t>
  </si>
  <si>
    <t>Коментарий</t>
  </si>
  <si>
    <t>Наличие оборудования</t>
  </si>
  <si>
    <t>В работе / В резерве</t>
  </si>
  <si>
    <t>Рб</t>
  </si>
  <si>
    <t>Рз</t>
  </si>
  <si>
    <t>Головка Альфа</t>
  </si>
  <si>
    <t>Подготовка к СМР</t>
  </si>
  <si>
    <t>Подающий мех. Альфа</t>
  </si>
  <si>
    <t>Старт СМР</t>
  </si>
  <si>
    <t>Блок управления Альфа</t>
  </si>
  <si>
    <t>Источник Альфа</t>
  </si>
  <si>
    <t>Источник PCW-300</t>
  </si>
  <si>
    <t>Подающий мех. XG-95</t>
  </si>
  <si>
    <t>Стоп СМР</t>
  </si>
  <si>
    <t>Проблемные вопросы:</t>
  </si>
  <si>
    <t>1 смена</t>
  </si>
  <si>
    <t>2 смена</t>
  </si>
  <si>
    <t>Сваренно за месяц</t>
  </si>
  <si>
    <t>Рем. за месяц</t>
  </si>
  <si>
    <t>Последний стык</t>
  </si>
  <si>
    <t>Итого</t>
  </si>
  <si>
    <t>Сваренно М300</t>
  </si>
  <si>
    <t>Плановое ТО</t>
  </si>
  <si>
    <t>Альфа, PCW-300+XG-95</t>
  </si>
  <si>
    <t>Логно В. В.</t>
  </si>
  <si>
    <t>-</t>
  </si>
  <si>
    <t>426х12</t>
  </si>
  <si>
    <t>1) Не работает головка сварочная. Не работает двигатель. Изначально принял неисправную. Сварка производится одной головкой</t>
  </si>
  <si>
    <t>2) Не рабочий подающий механизм XG-95. Не работает обратная связь. Сварка производится одной горелкой.</t>
  </si>
  <si>
    <t>Вышел из строя подающий механизм XG-95. Произвел проверку контура обратной связи.</t>
  </si>
  <si>
    <t xml:space="preserve">Цех Префабрикации </t>
  </si>
  <si>
    <t>Ежедневный отчёт</t>
  </si>
  <si>
    <t>о выполнении сварочно-монтажных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</si>
</sst>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.mm\.yyyy"/>
    <numFmt numFmtId="165" formatCode="dd\.mmm"/>
    <numFmt numFmtId="166" formatCode="h:mm;@"/>
  </numFmts>
  <fonts count="11">
    <font>
      <sz val="11"/>
      <color theme="1"/>
      <name val="Calibri"/>
      <charset val="134"/>
      <scheme val="minor"/>
    </font>
    <font>
      <sz val="10"/>
      <name val="Arial"/>
      <charset val="134"/>
    </font>
    <font>
      <sz val="12"/>
      <name val="Times New Roman"/>
      <charset val="20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0" fillId="0" borderId="1" xfId="0" applyBorder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 readingOrder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NumberFormat="1" applyBorder="1">
      <alignment vertical="center"/>
    </xf>
    <xf numFmtId="0" fontId="0" fillId="0" borderId="0" xfId="0" applyNumberFormat="1" applyBorder="1">
      <alignment vertical="center"/>
    </xf>
    <xf numFmtId="165" fontId="2" fillId="0" borderId="1" xfId="0" applyNumberFormat="1" applyFont="1" applyFill="1" applyBorder="1" applyAlignment="1" applyProtection="1">
      <alignment horizontal="center"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166" fontId="0" fillId="0" borderId="9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166" fontId="3" fillId="0" borderId="9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3" xfId="0" applyFont="1" applyBorder="1">
      <alignment vertical="center"/>
    </xf>
    <xf numFmtId="164" fontId="7" fillId="0" borderId="3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7" fillId="0" borderId="0" xfId="0" applyFont="1" applyBorder="1">
      <alignment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9" fontId="7" fillId="0" borderId="3" xfId="1" applyFont="1" applyBorder="1" applyAlignment="1">
      <alignment horizontal="center" vertical="center"/>
    </xf>
    <xf numFmtId="9" fontId="7" fillId="0" borderId="4" xfId="1" applyNumberFormat="1" applyFont="1" applyBorder="1" applyAlignment="1">
      <alignment horizontal="center" vertical="center"/>
    </xf>
    <xf numFmtId="9" fontId="7" fillId="0" borderId="5" xfId="1" applyFont="1" applyBorder="1" applyAlignment="1">
      <alignment horizontal="center" vertical="center"/>
    </xf>
    <xf numFmtId="9" fontId="7" fillId="0" borderId="6" xfId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6" fontId="7" fillId="0" borderId="1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66" fontId="7" fillId="0" borderId="2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6" fontId="7" fillId="0" borderId="9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7" fillId="0" borderId="0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66" fontId="7" fillId="0" borderId="2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7" fillId="0" borderId="7" xfId="0" applyFont="1" applyBorder="1" applyAlignment="1">
      <alignment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2" xfId="0" applyFont="1" applyBorder="1">
      <alignment vertical="center"/>
    </xf>
    <xf numFmtId="166" fontId="7" fillId="0" borderId="9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166" fontId="6" fillId="0" borderId="9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166" fontId="7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206220</xdr:colOff>
      <xdr:row>10</xdr:row>
      <xdr:rowOff>114300</xdr:rowOff>
    </xdr:from>
    <xdr:to>
      <xdr:col>2</xdr:col>
      <xdr:colOff>764499</xdr:colOff>
      <xdr:row>12</xdr:row>
      <xdr:rowOff>175260</xdr:rowOff>
    </xdr:to>
    <xdr:pic>
      <xdr:nvPicPr>
        <xdr:cNvPr id="2" name="Изображение 1" descr="Снимок экрана 2026-03-24 012436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4020" y="2095500"/>
          <a:ext cx="558279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"/>
  <sheetViews>
    <sheetView tabSelected="1" topLeftCell="A5" workbookViewId="0">
      <selection activeCell="H11" sqref="H1:H1048576"/>
    </sheetView>
  </sheetViews>
  <sheetFormatPr defaultColWidth="8.77734375" defaultRowHeight="14.4"/>
  <cols>
    <col min="1" max="1" width="11.33203125" style="11" customWidth="1"/>
    <col min="2" max="2" width="9.77734375" customWidth="1"/>
    <col min="3" max="3" width="11.44140625" customWidth="1"/>
    <col min="4" max="4" width="2.5546875" customWidth="1"/>
    <col min="5" max="5" width="11.33203125" customWidth="1"/>
    <col min="6" max="6" width="9.77734375" customWidth="1"/>
    <col min="7" max="7" width="11.44140625" customWidth="1"/>
    <col min="8" max="8" width="2.5546875" customWidth="1"/>
    <col min="9" max="9" width="10.77734375" customWidth="1"/>
    <col min="10" max="10" width="12" customWidth="1"/>
    <col min="11" max="11" width="4.21875" customWidth="1"/>
    <col min="12" max="13" width="3.6640625" customWidth="1"/>
  </cols>
  <sheetData>
    <row r="1" spans="1:18" ht="15.6" customHeight="1">
      <c r="A1" s="129" t="s">
        <v>51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</row>
    <row r="2" spans="1:18" ht="15.6" customHeight="1">
      <c r="A2" s="128" t="s">
        <v>52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18" ht="15.6">
      <c r="A3" s="43"/>
      <c r="B3" s="44"/>
      <c r="C3" s="44"/>
      <c r="D3" s="44"/>
      <c r="E3" s="44"/>
      <c r="F3" s="44"/>
      <c r="G3" s="44"/>
      <c r="H3" s="44"/>
      <c r="I3" s="44"/>
      <c r="J3" s="44"/>
      <c r="K3" s="45"/>
      <c r="L3" s="45"/>
      <c r="M3" s="45"/>
    </row>
    <row r="4" spans="1:18" ht="15.6">
      <c r="A4" s="43"/>
      <c r="B4" s="44"/>
      <c r="C4" s="44"/>
      <c r="D4" s="44"/>
      <c r="E4" s="44"/>
      <c r="F4" s="44"/>
      <c r="G4" s="44"/>
      <c r="H4" s="44"/>
      <c r="I4" s="46" t="s">
        <v>0</v>
      </c>
      <c r="J4" s="47">
        <v>46280</v>
      </c>
      <c r="K4" s="47"/>
      <c r="L4" s="47"/>
      <c r="M4" s="47"/>
    </row>
    <row r="5" spans="1:18" ht="15.6">
      <c r="A5" s="43"/>
      <c r="B5" s="44"/>
      <c r="C5" s="44"/>
      <c r="D5" s="44"/>
      <c r="E5" s="44"/>
      <c r="F5" s="44"/>
      <c r="G5" s="44"/>
      <c r="H5" s="44"/>
      <c r="I5" s="46" t="s">
        <v>1</v>
      </c>
      <c r="J5" s="48" t="s">
        <v>2</v>
      </c>
      <c r="K5" s="48"/>
      <c r="L5" s="48"/>
      <c r="M5" s="48"/>
    </row>
    <row r="6" spans="1:18" ht="15.6">
      <c r="A6" s="43"/>
      <c r="B6" s="44"/>
      <c r="C6" s="44"/>
      <c r="D6" s="44"/>
      <c r="E6" s="44"/>
      <c r="F6" s="44"/>
      <c r="G6" s="44"/>
      <c r="H6" s="44"/>
      <c r="I6" s="44"/>
      <c r="J6" s="44"/>
      <c r="K6" s="45"/>
      <c r="L6" s="45"/>
      <c r="M6" s="45"/>
    </row>
    <row r="7" spans="1:18" ht="15.6">
      <c r="A7" s="49"/>
      <c r="B7" s="49"/>
      <c r="C7" s="49"/>
      <c r="D7" s="50"/>
      <c r="E7" s="51"/>
      <c r="F7" s="51"/>
      <c r="G7" s="51"/>
      <c r="H7" s="44"/>
      <c r="I7" s="44"/>
      <c r="J7" s="44"/>
      <c r="K7" s="45"/>
      <c r="L7" s="45"/>
      <c r="M7" s="45"/>
      <c r="P7" s="42" t="s">
        <v>3</v>
      </c>
      <c r="Q7" s="42"/>
      <c r="R7" s="42"/>
    </row>
    <row r="8" spans="1:18" ht="15.6">
      <c r="A8" s="49"/>
      <c r="B8" s="49"/>
      <c r="C8" s="49"/>
      <c r="D8" s="50"/>
      <c r="E8" s="51"/>
      <c r="F8" s="51"/>
      <c r="G8" s="51"/>
      <c r="H8" s="44"/>
      <c r="I8" s="44"/>
      <c r="J8" s="44"/>
      <c r="K8" s="45"/>
      <c r="L8" s="45"/>
      <c r="M8" s="45"/>
      <c r="P8" s="42" t="s">
        <v>50</v>
      </c>
      <c r="Q8" s="42"/>
      <c r="R8" s="42"/>
    </row>
    <row r="9" spans="1:18" ht="15.6">
      <c r="A9" s="49"/>
      <c r="B9" s="49"/>
      <c r="C9" s="49"/>
      <c r="D9" s="50"/>
      <c r="E9" s="51"/>
      <c r="F9" s="51"/>
      <c r="G9" s="51"/>
      <c r="H9" s="44"/>
      <c r="I9" s="44"/>
      <c r="J9" s="44"/>
      <c r="K9" s="45"/>
      <c r="L9" s="45"/>
      <c r="M9" s="45"/>
      <c r="P9" s="42" t="s">
        <v>43</v>
      </c>
      <c r="Q9" s="42"/>
      <c r="R9" s="42"/>
    </row>
    <row r="10" spans="1:18" ht="15.6">
      <c r="A10" s="49"/>
      <c r="B10" s="49"/>
      <c r="C10" s="49"/>
      <c r="D10" s="50"/>
      <c r="E10" s="51"/>
      <c r="F10" s="51"/>
      <c r="G10" s="51"/>
      <c r="H10" s="44"/>
      <c r="I10" s="44"/>
      <c r="J10" s="44"/>
      <c r="K10" s="45"/>
      <c r="L10" s="45"/>
      <c r="M10" s="45"/>
      <c r="P10" s="42" t="s">
        <v>46</v>
      </c>
      <c r="Q10" s="42"/>
      <c r="R10" s="42"/>
    </row>
    <row r="11" spans="1:18" ht="15.6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5"/>
      <c r="L11" s="45"/>
      <c r="M11" s="45"/>
      <c r="P11" s="10"/>
      <c r="Q11" s="10"/>
      <c r="R11" s="10"/>
    </row>
    <row r="12" spans="1:18" ht="15.6">
      <c r="A12" s="52" t="s">
        <v>4</v>
      </c>
      <c r="B12" s="52"/>
      <c r="C12" s="52"/>
      <c r="D12" s="44"/>
      <c r="E12" s="52" t="s">
        <v>5</v>
      </c>
      <c r="F12" s="52"/>
      <c r="G12" s="52"/>
      <c r="H12" s="44"/>
      <c r="I12" s="53" t="s">
        <v>6</v>
      </c>
      <c r="J12" s="53"/>
      <c r="K12" s="53"/>
      <c r="L12" s="53"/>
      <c r="M12" s="53"/>
    </row>
    <row r="13" spans="1:18" ht="15.6">
      <c r="A13" s="54" t="s">
        <v>7</v>
      </c>
      <c r="B13" s="127" t="s">
        <v>44</v>
      </c>
      <c r="C13" s="127"/>
      <c r="D13" s="44"/>
      <c r="E13" s="54" t="s">
        <v>7</v>
      </c>
      <c r="F13" s="55"/>
      <c r="G13" s="56"/>
      <c r="H13" s="44"/>
      <c r="I13" s="44"/>
      <c r="J13" s="44"/>
      <c r="K13" s="45"/>
      <c r="L13" s="45"/>
      <c r="M13" s="45"/>
    </row>
    <row r="14" spans="1:18" ht="15.6">
      <c r="A14" s="54" t="s">
        <v>7</v>
      </c>
      <c r="B14" s="55"/>
      <c r="C14" s="55"/>
      <c r="D14" s="44"/>
      <c r="E14" s="54" t="s">
        <v>7</v>
      </c>
      <c r="F14" s="55"/>
      <c r="G14" s="55"/>
      <c r="H14" s="44"/>
      <c r="I14" s="44"/>
      <c r="J14" s="44"/>
      <c r="K14" s="45"/>
      <c r="L14" s="45"/>
      <c r="M14" s="45"/>
    </row>
    <row r="15" spans="1:18" ht="15.6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5"/>
      <c r="L15" s="45"/>
      <c r="M15" s="45"/>
    </row>
    <row r="16" spans="1:18" ht="15.6">
      <c r="A16" s="57" t="s">
        <v>8</v>
      </c>
      <c r="B16" s="57"/>
      <c r="C16" s="58">
        <v>21</v>
      </c>
      <c r="D16" s="59"/>
      <c r="E16" s="57" t="s">
        <v>8</v>
      </c>
      <c r="F16" s="57"/>
      <c r="G16" s="58" t="s">
        <v>45</v>
      </c>
      <c r="H16" s="59"/>
      <c r="I16" s="60"/>
      <c r="J16" s="61"/>
      <c r="K16" s="60"/>
      <c r="L16" s="62"/>
      <c r="M16" s="61"/>
    </row>
    <row r="17" spans="1:20" ht="15.6">
      <c r="A17" s="57" t="s">
        <v>9</v>
      </c>
      <c r="B17" s="57"/>
      <c r="C17" s="63">
        <v>0.34375</v>
      </c>
      <c r="D17" s="59"/>
      <c r="E17" s="57" t="s">
        <v>9</v>
      </c>
      <c r="F17" s="57"/>
      <c r="G17" s="58" t="s">
        <v>45</v>
      </c>
      <c r="H17" s="59"/>
      <c r="I17" s="60"/>
      <c r="J17" s="61"/>
      <c r="K17" s="60"/>
      <c r="L17" s="62"/>
      <c r="M17" s="61"/>
    </row>
    <row r="18" spans="1:20" ht="15.6">
      <c r="A18" s="64" t="s">
        <v>10</v>
      </c>
      <c r="B18" s="64"/>
      <c r="C18" s="58">
        <v>22</v>
      </c>
      <c r="D18" s="59"/>
      <c r="E18" s="64" t="s">
        <v>11</v>
      </c>
      <c r="F18" s="64"/>
      <c r="G18" s="58" t="s">
        <v>45</v>
      </c>
      <c r="H18" s="59"/>
      <c r="I18" s="60"/>
      <c r="J18" s="61"/>
      <c r="K18" s="60"/>
      <c r="L18" s="62"/>
      <c r="M18" s="61"/>
      <c r="O18" s="40"/>
      <c r="P18" s="40"/>
      <c r="Q18" s="40"/>
      <c r="R18" s="40"/>
      <c r="S18" s="40"/>
    </row>
    <row r="19" spans="1:20" ht="15.6" customHeight="1">
      <c r="A19" s="57" t="s">
        <v>12</v>
      </c>
      <c r="B19" s="57"/>
      <c r="C19" s="63">
        <v>0.76388888888888884</v>
      </c>
      <c r="D19" s="59"/>
      <c r="E19" s="57" t="s">
        <v>12</v>
      </c>
      <c r="F19" s="57"/>
      <c r="G19" s="58" t="s">
        <v>45</v>
      </c>
      <c r="H19" s="59"/>
      <c r="I19" s="60"/>
      <c r="J19" s="61"/>
      <c r="K19" s="60"/>
      <c r="L19" s="62"/>
      <c r="M19" s="61"/>
      <c r="O19" s="40"/>
      <c r="P19" s="40"/>
      <c r="Q19" s="40"/>
      <c r="R19" s="40"/>
      <c r="S19" s="40"/>
      <c r="T19" s="40"/>
    </row>
    <row r="20" spans="1:20" ht="15.6">
      <c r="A20" s="64" t="s">
        <v>13</v>
      </c>
      <c r="B20" s="64"/>
      <c r="C20" s="58">
        <f>C18-C16+1</f>
        <v>2</v>
      </c>
      <c r="D20" s="59"/>
      <c r="E20" s="64" t="s">
        <v>13</v>
      </c>
      <c r="F20" s="64"/>
      <c r="G20" s="58" t="s">
        <v>45</v>
      </c>
      <c r="H20" s="59"/>
      <c r="I20" s="65" t="s">
        <v>14</v>
      </c>
      <c r="J20" s="66"/>
      <c r="K20" s="60">
        <f>C20</f>
        <v>2</v>
      </c>
      <c r="L20" s="62"/>
      <c r="M20" s="61"/>
      <c r="O20" s="40"/>
      <c r="P20" s="40"/>
      <c r="Q20" s="31"/>
      <c r="R20" s="31"/>
    </row>
    <row r="21" spans="1:20" ht="15.6" customHeight="1">
      <c r="A21" s="64" t="s">
        <v>15</v>
      </c>
      <c r="B21" s="64"/>
      <c r="C21" s="58">
        <v>23</v>
      </c>
      <c r="D21" s="59"/>
      <c r="E21" s="64" t="s">
        <v>15</v>
      </c>
      <c r="F21" s="64"/>
      <c r="G21" s="58" t="s">
        <v>45</v>
      </c>
      <c r="H21" s="59"/>
      <c r="I21" s="65" t="s">
        <v>16</v>
      </c>
      <c r="J21" s="66"/>
      <c r="K21" s="60">
        <f>C21</f>
        <v>23</v>
      </c>
      <c r="L21" s="62"/>
      <c r="M21" s="61"/>
    </row>
    <row r="22" spans="1:20" ht="15.6" customHeight="1">
      <c r="A22" s="64" t="s">
        <v>17</v>
      </c>
      <c r="B22" s="64"/>
      <c r="C22" s="58" t="s">
        <v>45</v>
      </c>
      <c r="D22" s="59"/>
      <c r="E22" s="64" t="s">
        <v>17</v>
      </c>
      <c r="F22" s="64"/>
      <c r="G22" s="58" t="s">
        <v>45</v>
      </c>
      <c r="H22" s="59"/>
      <c r="I22" s="65" t="s">
        <v>17</v>
      </c>
      <c r="J22" s="66"/>
      <c r="K22" s="60" t="str">
        <f>C22</f>
        <v>-</v>
      </c>
      <c r="L22" s="62"/>
      <c r="M22" s="61"/>
    </row>
    <row r="23" spans="1:20" ht="15.6">
      <c r="A23" s="64" t="s">
        <v>18</v>
      </c>
      <c r="B23" s="64"/>
      <c r="C23" s="58">
        <v>11</v>
      </c>
      <c r="D23" s="59"/>
      <c r="E23" s="64" t="s">
        <v>18</v>
      </c>
      <c r="F23" s="64"/>
      <c r="G23" s="58" t="s">
        <v>45</v>
      </c>
      <c r="H23" s="59"/>
      <c r="I23" s="65" t="s">
        <v>18</v>
      </c>
      <c r="J23" s="66"/>
      <c r="K23" s="60">
        <f>C23</f>
        <v>11</v>
      </c>
      <c r="L23" s="62"/>
      <c r="M23" s="61"/>
    </row>
    <row r="24" spans="1:20" ht="15.6" customHeight="1">
      <c r="A24" s="64" t="s">
        <v>19</v>
      </c>
      <c r="B24" s="64"/>
      <c r="C24" s="67">
        <f>IF(ISERROR(((C$23/C$21)/6)),0,((C$23/C$21)/6))</f>
        <v>7.9710144927536239E-2</v>
      </c>
      <c r="D24" s="59"/>
      <c r="E24" s="64" t="s">
        <v>19</v>
      </c>
      <c r="F24" s="64"/>
      <c r="G24" s="67">
        <f>IF(ISERROR(((G$23/G$21)/6)),0,((G$23/G$21)/6))</f>
        <v>0</v>
      </c>
      <c r="H24" s="59"/>
      <c r="I24" s="65" t="s">
        <v>19</v>
      </c>
      <c r="J24" s="66"/>
      <c r="K24" s="68">
        <f>IF(ISERROR(((K$23/K$21)/6)),0,((K$23/K$21)/6))</f>
        <v>7.9710144927536239E-2</v>
      </c>
      <c r="L24" s="69"/>
      <c r="M24" s="70"/>
    </row>
    <row r="25" spans="1:20" ht="15.6" customHeight="1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5"/>
      <c r="L25" s="45"/>
      <c r="M25" s="45"/>
    </row>
    <row r="26" spans="1:20" ht="15.6">
      <c r="A26" s="71" t="s">
        <v>20</v>
      </c>
      <c r="B26" s="72"/>
      <c r="C26" s="73"/>
      <c r="D26" s="44"/>
      <c r="E26" s="71" t="s">
        <v>20</v>
      </c>
      <c r="F26" s="72"/>
      <c r="G26" s="73"/>
      <c r="H26" s="44"/>
      <c r="I26" s="74" t="s">
        <v>21</v>
      </c>
      <c r="J26" s="74"/>
      <c r="K26" s="74"/>
      <c r="L26" s="74"/>
      <c r="M26" s="74"/>
    </row>
    <row r="27" spans="1:20" ht="15.6" customHeight="1">
      <c r="A27" s="75">
        <v>0.30555555555555552</v>
      </c>
      <c r="B27" s="76" t="s">
        <v>42</v>
      </c>
      <c r="C27" s="77"/>
      <c r="D27" s="44"/>
      <c r="E27" s="78"/>
      <c r="F27" s="79"/>
      <c r="G27" s="80"/>
      <c r="H27" s="44"/>
      <c r="I27" s="81" t="s">
        <v>22</v>
      </c>
      <c r="J27" s="82"/>
      <c r="K27" s="83"/>
      <c r="L27" s="84" t="s">
        <v>23</v>
      </c>
      <c r="M27" s="84" t="s">
        <v>24</v>
      </c>
    </row>
    <row r="28" spans="1:20" ht="15.6">
      <c r="A28" s="78"/>
      <c r="B28" s="85" t="s">
        <v>26</v>
      </c>
      <c r="C28" s="86"/>
      <c r="D28" s="44"/>
      <c r="E28" s="78"/>
      <c r="F28" s="87"/>
      <c r="G28" s="80"/>
      <c r="H28" s="44"/>
      <c r="I28" s="88" t="s">
        <v>25</v>
      </c>
      <c r="J28" s="89"/>
      <c r="K28" s="90"/>
      <c r="L28" s="91">
        <v>2</v>
      </c>
      <c r="M28" s="91">
        <v>0</v>
      </c>
    </row>
    <row r="29" spans="1:20" ht="15" customHeight="1">
      <c r="A29" s="78">
        <f>C$17</f>
        <v>0.34375</v>
      </c>
      <c r="B29" s="76" t="s">
        <v>28</v>
      </c>
      <c r="C29" s="86"/>
      <c r="D29" s="44"/>
      <c r="E29" s="78"/>
      <c r="F29" s="85"/>
      <c r="G29" s="86"/>
      <c r="H29" s="44"/>
      <c r="I29" s="88" t="s">
        <v>27</v>
      </c>
      <c r="J29" s="89"/>
      <c r="K29" s="90"/>
      <c r="L29" s="91">
        <v>2</v>
      </c>
      <c r="M29" s="91">
        <v>0</v>
      </c>
    </row>
    <row r="30" spans="1:20" ht="15" customHeight="1">
      <c r="A30" s="78">
        <v>0.63888888888888895</v>
      </c>
      <c r="B30" s="76" t="s">
        <v>49</v>
      </c>
      <c r="C30" s="86"/>
      <c r="D30" s="44"/>
      <c r="E30" s="78"/>
      <c r="F30" s="76"/>
      <c r="G30" s="77"/>
      <c r="H30" s="44"/>
      <c r="I30" s="88" t="s">
        <v>29</v>
      </c>
      <c r="J30" s="89"/>
      <c r="K30" s="90"/>
      <c r="L30" s="91">
        <v>2</v>
      </c>
      <c r="M30" s="91">
        <v>0</v>
      </c>
    </row>
    <row r="31" spans="1:20" ht="15" customHeight="1">
      <c r="A31" s="92"/>
      <c r="B31" s="76"/>
      <c r="C31" s="86"/>
      <c r="D31" s="44"/>
      <c r="E31" s="93"/>
      <c r="F31" s="76"/>
      <c r="G31" s="77"/>
      <c r="H31" s="44"/>
      <c r="I31" s="88" t="s">
        <v>30</v>
      </c>
      <c r="J31" s="89"/>
      <c r="K31" s="90"/>
      <c r="L31" s="91">
        <v>2</v>
      </c>
      <c r="M31" s="91">
        <v>0</v>
      </c>
    </row>
    <row r="32" spans="1:20" ht="15" customHeight="1">
      <c r="A32" s="92"/>
      <c r="B32" s="76"/>
      <c r="C32" s="86"/>
      <c r="D32" s="44"/>
      <c r="E32" s="93"/>
      <c r="F32" s="76"/>
      <c r="G32" s="77"/>
      <c r="H32" s="44"/>
      <c r="I32" s="88" t="s">
        <v>31</v>
      </c>
      <c r="J32" s="89"/>
      <c r="K32" s="90"/>
      <c r="L32" s="91">
        <v>2</v>
      </c>
      <c r="M32" s="91">
        <v>0</v>
      </c>
    </row>
    <row r="33" spans="1:13" ht="15" customHeight="1">
      <c r="A33" s="78"/>
      <c r="B33" s="76"/>
      <c r="C33" s="86"/>
      <c r="D33" s="44"/>
      <c r="E33" s="93"/>
      <c r="F33" s="76"/>
      <c r="G33" s="77"/>
      <c r="H33" s="44"/>
      <c r="I33" s="88" t="s">
        <v>32</v>
      </c>
      <c r="J33" s="89"/>
      <c r="K33" s="90"/>
      <c r="L33" s="91">
        <v>2</v>
      </c>
      <c r="M33" s="91">
        <v>0</v>
      </c>
    </row>
    <row r="34" spans="1:13" ht="15" customHeight="1">
      <c r="A34" s="92"/>
      <c r="B34" s="76"/>
      <c r="C34" s="86"/>
      <c r="D34" s="45"/>
      <c r="E34" s="93"/>
      <c r="F34" s="76"/>
      <c r="G34" s="77"/>
      <c r="H34" s="45"/>
      <c r="I34" s="94"/>
      <c r="J34" s="95"/>
      <c r="K34" s="96"/>
      <c r="L34" s="91"/>
      <c r="M34" s="91"/>
    </row>
    <row r="35" spans="1:13" ht="15" customHeight="1">
      <c r="A35" s="78"/>
      <c r="B35" s="76"/>
      <c r="C35" s="86"/>
      <c r="D35" s="45"/>
      <c r="E35" s="93"/>
      <c r="F35" s="76"/>
      <c r="G35" s="77"/>
      <c r="H35" s="45"/>
      <c r="I35" s="94"/>
      <c r="J35" s="95"/>
      <c r="K35" s="96"/>
      <c r="L35" s="91"/>
      <c r="M35" s="91"/>
    </row>
    <row r="36" spans="1:13" ht="15" customHeight="1">
      <c r="A36" s="78">
        <f>C$19</f>
        <v>0.76388888888888884</v>
      </c>
      <c r="B36" s="76" t="s">
        <v>33</v>
      </c>
      <c r="C36" s="86"/>
      <c r="D36" s="45"/>
      <c r="E36" s="93"/>
      <c r="F36" s="97"/>
      <c r="G36" s="98"/>
      <c r="H36" s="45"/>
      <c r="I36" s="99" t="s">
        <v>34</v>
      </c>
      <c r="J36" s="100"/>
      <c r="K36" s="100"/>
      <c r="L36" s="100"/>
      <c r="M36" s="101"/>
    </row>
    <row r="37" spans="1:13" ht="15" customHeight="1">
      <c r="A37" s="92"/>
      <c r="B37" s="102"/>
      <c r="C37" s="103"/>
      <c r="D37" s="45"/>
      <c r="E37" s="93"/>
      <c r="F37" s="97"/>
      <c r="G37" s="98"/>
      <c r="H37" s="45"/>
      <c r="I37" s="104" t="s">
        <v>47</v>
      </c>
      <c r="J37" s="105"/>
      <c r="K37" s="105"/>
      <c r="L37" s="105"/>
      <c r="M37" s="106"/>
    </row>
    <row r="38" spans="1:13" ht="15" customHeight="1">
      <c r="A38" s="43"/>
      <c r="B38" s="45"/>
      <c r="C38" s="103"/>
      <c r="D38" s="45"/>
      <c r="E38" s="93"/>
      <c r="F38" s="97"/>
      <c r="G38" s="98"/>
      <c r="H38" s="45"/>
      <c r="I38" s="107"/>
      <c r="J38" s="108"/>
      <c r="K38" s="108"/>
      <c r="L38" s="108"/>
      <c r="M38" s="109"/>
    </row>
    <row r="39" spans="1:13" ht="15" customHeight="1">
      <c r="A39" s="78"/>
      <c r="B39" s="76"/>
      <c r="C39" s="86"/>
      <c r="D39" s="45"/>
      <c r="E39" s="93"/>
      <c r="F39" s="97"/>
      <c r="G39" s="98"/>
      <c r="H39" s="45"/>
      <c r="I39" s="107"/>
      <c r="J39" s="108"/>
      <c r="K39" s="108"/>
      <c r="L39" s="108"/>
      <c r="M39" s="109"/>
    </row>
    <row r="40" spans="1:13" ht="15" customHeight="1">
      <c r="A40" s="78"/>
      <c r="B40" s="76"/>
      <c r="C40" s="86"/>
      <c r="D40" s="45"/>
      <c r="E40" s="93"/>
      <c r="F40" s="97"/>
      <c r="G40" s="98"/>
      <c r="H40" s="45"/>
      <c r="I40" s="107"/>
      <c r="J40" s="108"/>
      <c r="K40" s="108"/>
      <c r="L40" s="108"/>
      <c r="M40" s="109"/>
    </row>
    <row r="41" spans="1:13" ht="15" customHeight="1">
      <c r="A41" s="78"/>
      <c r="B41" s="76"/>
      <c r="C41" s="86"/>
      <c r="D41" s="45"/>
      <c r="E41" s="110"/>
      <c r="F41" s="97"/>
      <c r="G41" s="98"/>
      <c r="H41" s="45"/>
      <c r="I41" s="111"/>
      <c r="J41" s="112"/>
      <c r="K41" s="112"/>
      <c r="L41" s="112"/>
      <c r="M41" s="113"/>
    </row>
    <row r="42" spans="1:13" ht="15" customHeight="1">
      <c r="A42" s="92"/>
      <c r="B42" s="102"/>
      <c r="C42" s="103"/>
      <c r="D42" s="45"/>
      <c r="E42" s="93"/>
      <c r="F42" s="97"/>
      <c r="G42" s="98"/>
      <c r="H42" s="45"/>
      <c r="I42" s="104" t="s">
        <v>48</v>
      </c>
      <c r="J42" s="105"/>
      <c r="K42" s="105"/>
      <c r="L42" s="105"/>
      <c r="M42" s="106"/>
    </row>
    <row r="43" spans="1:13" ht="15.6">
      <c r="A43" s="78"/>
      <c r="B43" s="97"/>
      <c r="C43" s="114"/>
      <c r="D43" s="45"/>
      <c r="E43" s="93"/>
      <c r="F43" s="76"/>
      <c r="G43" s="77"/>
      <c r="H43" s="45"/>
      <c r="I43" s="107"/>
      <c r="J43" s="108"/>
      <c r="K43" s="108"/>
      <c r="L43" s="108"/>
      <c r="M43" s="109"/>
    </row>
    <row r="44" spans="1:13" ht="15.6">
      <c r="A44" s="78"/>
      <c r="B44" s="97"/>
      <c r="C44" s="98"/>
      <c r="D44" s="45"/>
      <c r="E44" s="110"/>
      <c r="F44" s="76"/>
      <c r="G44" s="86"/>
      <c r="H44" s="45"/>
      <c r="I44" s="107"/>
      <c r="J44" s="108"/>
      <c r="K44" s="108"/>
      <c r="L44" s="108"/>
      <c r="M44" s="109"/>
    </row>
    <row r="45" spans="1:13" ht="15" customHeight="1">
      <c r="A45" s="78"/>
      <c r="B45" s="76"/>
      <c r="C45" s="77"/>
      <c r="D45" s="45"/>
      <c r="E45" s="93"/>
      <c r="F45" s="76"/>
      <c r="G45" s="77"/>
      <c r="H45" s="45"/>
      <c r="I45" s="111"/>
      <c r="J45" s="112"/>
      <c r="K45" s="112"/>
      <c r="L45" s="112"/>
      <c r="M45" s="113"/>
    </row>
    <row r="46" spans="1:13" ht="15.6">
      <c r="A46" s="78"/>
      <c r="B46" s="97"/>
      <c r="C46" s="98"/>
      <c r="D46" s="45"/>
      <c r="E46" s="110"/>
      <c r="F46" s="76"/>
      <c r="G46" s="86"/>
      <c r="H46" s="45"/>
      <c r="I46" s="115"/>
      <c r="J46" s="116"/>
      <c r="K46" s="116"/>
      <c r="L46" s="116"/>
      <c r="M46" s="117"/>
    </row>
    <row r="47" spans="1:13" ht="15.6">
      <c r="A47" s="78"/>
      <c r="B47" s="97"/>
      <c r="C47" s="98"/>
      <c r="D47" s="45"/>
      <c r="E47" s="110"/>
      <c r="F47" s="76"/>
      <c r="G47" s="86"/>
      <c r="H47" s="45"/>
      <c r="I47" s="115"/>
      <c r="J47" s="116"/>
      <c r="K47" s="116"/>
      <c r="L47" s="116"/>
      <c r="M47" s="117"/>
    </row>
    <row r="48" spans="1:13" ht="15.6">
      <c r="A48" s="78"/>
      <c r="B48" s="97"/>
      <c r="C48" s="98"/>
      <c r="D48" s="102"/>
      <c r="E48" s="110"/>
      <c r="F48" s="76"/>
      <c r="G48" s="86"/>
      <c r="H48" s="45"/>
      <c r="I48" s="115"/>
      <c r="J48" s="116"/>
      <c r="K48" s="116"/>
      <c r="L48" s="116"/>
      <c r="M48" s="117"/>
    </row>
    <row r="49" spans="1:13" ht="15" customHeight="1">
      <c r="A49" s="78"/>
      <c r="B49" s="97"/>
      <c r="C49" s="98"/>
      <c r="D49" s="45"/>
      <c r="E49" s="110"/>
      <c r="F49" s="76"/>
      <c r="G49" s="86"/>
      <c r="H49" s="45"/>
      <c r="I49" s="115"/>
      <c r="J49" s="116"/>
      <c r="K49" s="116"/>
      <c r="L49" s="116"/>
      <c r="M49" s="117"/>
    </row>
    <row r="50" spans="1:13" ht="15.6">
      <c r="A50" s="93"/>
      <c r="B50" s="97"/>
      <c r="C50" s="98"/>
      <c r="D50" s="45"/>
      <c r="E50" s="110"/>
      <c r="F50" s="108"/>
      <c r="G50" s="109"/>
      <c r="H50" s="45"/>
      <c r="I50" s="115"/>
      <c r="J50" s="116"/>
      <c r="K50" s="116"/>
      <c r="L50" s="116"/>
      <c r="M50" s="117"/>
    </row>
    <row r="51" spans="1:13" ht="15" customHeight="1">
      <c r="A51" s="78"/>
      <c r="B51" s="97"/>
      <c r="C51" s="98"/>
      <c r="D51" s="45"/>
      <c r="E51" s="110"/>
      <c r="F51" s="108"/>
      <c r="G51" s="109"/>
      <c r="H51" s="45"/>
      <c r="I51" s="118"/>
      <c r="J51" s="45"/>
      <c r="K51" s="45"/>
      <c r="L51" s="45"/>
      <c r="M51" s="103"/>
    </row>
    <row r="52" spans="1:13" ht="15" customHeight="1">
      <c r="A52" s="93"/>
      <c r="B52" s="97"/>
      <c r="C52" s="98"/>
      <c r="D52" s="45"/>
      <c r="E52" s="110"/>
      <c r="F52" s="108"/>
      <c r="G52" s="109"/>
      <c r="H52" s="45"/>
      <c r="I52" s="118"/>
      <c r="J52" s="45"/>
      <c r="K52" s="45"/>
      <c r="L52" s="45"/>
      <c r="M52" s="103"/>
    </row>
    <row r="53" spans="1:13" ht="15.6">
      <c r="A53" s="78"/>
      <c r="B53" s="97"/>
      <c r="C53" s="98"/>
      <c r="D53" s="45"/>
      <c r="E53" s="110"/>
      <c r="F53" s="108"/>
      <c r="G53" s="109"/>
      <c r="H53" s="45"/>
      <c r="I53" s="115"/>
      <c r="J53" s="116"/>
      <c r="K53" s="116"/>
      <c r="L53" s="116"/>
      <c r="M53" s="117"/>
    </row>
    <row r="54" spans="1:13" ht="15.6">
      <c r="A54" s="93"/>
      <c r="B54" s="97"/>
      <c r="C54" s="98"/>
      <c r="D54" s="45"/>
      <c r="E54" s="119"/>
      <c r="F54" s="108"/>
      <c r="G54" s="120"/>
      <c r="H54" s="45"/>
      <c r="I54" s="115"/>
      <c r="J54" s="116"/>
      <c r="K54" s="116"/>
      <c r="L54" s="116"/>
      <c r="M54" s="117"/>
    </row>
    <row r="55" spans="1:13" ht="15.6">
      <c r="A55" s="93"/>
      <c r="B55" s="97"/>
      <c r="C55" s="98"/>
      <c r="D55" s="45"/>
      <c r="E55" s="121"/>
      <c r="F55" s="122"/>
      <c r="G55" s="123"/>
      <c r="H55" s="45"/>
      <c r="I55" s="115"/>
      <c r="J55" s="116"/>
      <c r="K55" s="116"/>
      <c r="L55" s="116"/>
      <c r="M55" s="117"/>
    </row>
    <row r="56" spans="1:13" ht="15" customHeight="1">
      <c r="A56" s="93"/>
      <c r="B56" s="76"/>
      <c r="C56" s="77"/>
      <c r="D56" s="45"/>
      <c r="E56" s="121"/>
      <c r="F56" s="122"/>
      <c r="G56" s="123"/>
      <c r="H56" s="45"/>
      <c r="I56" s="115"/>
      <c r="J56" s="116"/>
      <c r="K56" s="116"/>
      <c r="L56" s="116"/>
      <c r="M56" s="117"/>
    </row>
    <row r="57" spans="1:13" ht="15" customHeight="1">
      <c r="A57" s="124"/>
      <c r="B57" s="125"/>
      <c r="C57" s="126"/>
      <c r="D57" s="45"/>
      <c r="E57" s="121"/>
      <c r="F57" s="122"/>
      <c r="G57" s="123"/>
      <c r="H57" s="45"/>
      <c r="I57" s="115"/>
      <c r="J57" s="116"/>
      <c r="K57" s="116"/>
      <c r="L57" s="116"/>
      <c r="M57" s="117"/>
    </row>
    <row r="58" spans="1:13" ht="15" customHeight="1">
      <c r="A58" s="22"/>
      <c r="B58" s="20"/>
      <c r="C58" s="21"/>
      <c r="E58" s="16"/>
      <c r="F58" s="13"/>
      <c r="G58" s="14"/>
      <c r="I58" s="33"/>
      <c r="J58" s="27"/>
      <c r="K58" s="27"/>
      <c r="L58" s="27"/>
      <c r="M58" s="28"/>
    </row>
    <row r="59" spans="1:13" ht="15" customHeight="1">
      <c r="A59" s="22"/>
      <c r="B59" s="20"/>
      <c r="C59" s="21"/>
      <c r="E59" s="16"/>
      <c r="F59" s="10"/>
      <c r="G59" s="15"/>
      <c r="I59" s="33"/>
      <c r="J59" s="27"/>
      <c r="K59" s="27"/>
      <c r="L59" s="27"/>
      <c r="M59" s="28"/>
    </row>
    <row r="60" spans="1:13" ht="15" customHeight="1">
      <c r="A60" s="26"/>
      <c r="B60" s="39"/>
      <c r="C60" s="41"/>
      <c r="E60" s="16"/>
      <c r="F60" s="10"/>
      <c r="G60" s="15"/>
      <c r="I60" s="33"/>
      <c r="J60" s="27"/>
      <c r="K60" s="27"/>
      <c r="L60" s="27"/>
      <c r="M60" s="28"/>
    </row>
    <row r="61" spans="1:13" ht="15" customHeight="1">
      <c r="A61" s="22"/>
      <c r="B61" s="20"/>
      <c r="C61" s="21"/>
      <c r="E61" s="16"/>
      <c r="F61" s="10"/>
      <c r="G61" s="15"/>
      <c r="I61" s="33"/>
      <c r="J61" s="27"/>
      <c r="K61" s="27"/>
      <c r="L61" s="27"/>
      <c r="M61" s="28"/>
    </row>
    <row r="62" spans="1:13" ht="15" customHeight="1">
      <c r="A62" s="23"/>
      <c r="B62" s="24"/>
      <c r="C62" s="25"/>
      <c r="E62" s="17"/>
      <c r="F62" s="18"/>
      <c r="G62" s="19"/>
      <c r="I62" s="33"/>
      <c r="J62" s="27"/>
      <c r="K62" s="27"/>
      <c r="L62" s="27"/>
      <c r="M62" s="28"/>
    </row>
    <row r="63" spans="1:13" ht="15" customHeight="1">
      <c r="B63" s="12"/>
      <c r="C63" s="12"/>
      <c r="I63" s="33"/>
      <c r="J63" s="27"/>
      <c r="K63" s="27"/>
      <c r="L63" s="27"/>
      <c r="M63" s="28"/>
    </row>
    <row r="64" spans="1:13" ht="15" customHeight="1">
      <c r="B64" s="12"/>
      <c r="C64" s="12"/>
      <c r="I64" s="33"/>
      <c r="J64" s="27"/>
      <c r="K64" s="27"/>
      <c r="L64" s="27"/>
      <c r="M64" s="28"/>
    </row>
    <row r="65" spans="2:13" ht="15" customHeight="1">
      <c r="B65" s="12"/>
      <c r="C65" s="12"/>
      <c r="I65" s="33"/>
      <c r="J65" s="27"/>
      <c r="K65" s="27"/>
      <c r="L65" s="27"/>
      <c r="M65" s="28"/>
    </row>
    <row r="66" spans="2:13" ht="15" customHeight="1">
      <c r="B66" s="12"/>
      <c r="C66" s="12"/>
      <c r="I66" s="33"/>
      <c r="J66" s="27"/>
      <c r="K66" s="27"/>
      <c r="L66" s="27"/>
      <c r="M66" s="28"/>
    </row>
    <row r="67" spans="2:13" ht="15" customHeight="1">
      <c r="B67" s="12"/>
      <c r="C67" s="12"/>
      <c r="I67" s="33"/>
      <c r="J67" s="27"/>
      <c r="K67" s="27"/>
      <c r="L67" s="27"/>
      <c r="M67" s="28"/>
    </row>
    <row r="68" spans="2:13" ht="15" customHeight="1">
      <c r="B68" s="12"/>
      <c r="C68" s="12"/>
      <c r="I68" s="33"/>
      <c r="J68" s="27"/>
      <c r="K68" s="27"/>
      <c r="L68" s="27"/>
      <c r="M68" s="28"/>
    </row>
    <row r="69" spans="2:13" ht="15" customHeight="1">
      <c r="B69" s="12"/>
      <c r="C69" s="12"/>
      <c r="I69" s="33"/>
      <c r="J69" s="27"/>
      <c r="K69" s="27"/>
      <c r="L69" s="27"/>
      <c r="M69" s="28"/>
    </row>
    <row r="70" spans="2:13" ht="15" customHeight="1">
      <c r="B70" s="12"/>
      <c r="C70" s="12"/>
      <c r="I70" s="33"/>
      <c r="J70" s="27"/>
      <c r="K70" s="27"/>
      <c r="L70" s="27"/>
      <c r="M70" s="28"/>
    </row>
    <row r="71" spans="2:13" ht="15" customHeight="1">
      <c r="B71" s="12"/>
      <c r="C71" s="12"/>
      <c r="I71" s="33"/>
      <c r="J71" s="27"/>
      <c r="K71" s="27"/>
      <c r="L71" s="27"/>
      <c r="M71" s="28"/>
    </row>
    <row r="72" spans="2:13" ht="15" customHeight="1">
      <c r="B72" s="12"/>
      <c r="C72" s="12"/>
      <c r="I72" s="33"/>
      <c r="J72" s="27"/>
      <c r="K72" s="27"/>
      <c r="L72" s="27"/>
      <c r="M72" s="28"/>
    </row>
    <row r="73" spans="2:13" ht="15" customHeight="1">
      <c r="B73" s="12"/>
      <c r="C73" s="12"/>
      <c r="I73" s="33"/>
      <c r="J73" s="27"/>
      <c r="K73" s="27"/>
      <c r="L73" s="27"/>
      <c r="M73" s="28"/>
    </row>
    <row r="74" spans="2:13" ht="15" customHeight="1">
      <c r="I74" s="34"/>
      <c r="J74" s="32"/>
      <c r="K74" s="32"/>
      <c r="L74" s="32"/>
      <c r="M74" s="35"/>
    </row>
    <row r="75" spans="2:13" ht="15" customHeight="1">
      <c r="I75" s="34"/>
      <c r="J75" s="32"/>
      <c r="K75" s="32"/>
      <c r="L75" s="32"/>
      <c r="M75" s="35"/>
    </row>
    <row r="76" spans="2:13" ht="15" customHeight="1">
      <c r="I76" s="34"/>
      <c r="J76" s="32"/>
      <c r="K76" s="32"/>
      <c r="L76" s="32"/>
      <c r="M76" s="35"/>
    </row>
    <row r="77" spans="2:13" ht="15" customHeight="1">
      <c r="I77" s="36"/>
      <c r="J77" s="37"/>
      <c r="K77" s="37"/>
      <c r="L77" s="37"/>
      <c r="M77" s="38"/>
    </row>
    <row r="78" spans="2:13">
      <c r="I78" s="32"/>
      <c r="J78" s="32"/>
      <c r="K78" s="32"/>
      <c r="L78" s="32"/>
      <c r="M78" s="32"/>
    </row>
  </sheetData>
  <mergeCells count="108">
    <mergeCell ref="P7:R7"/>
    <mergeCell ref="P8:R8"/>
    <mergeCell ref="P9:R9"/>
    <mergeCell ref="P10:R10"/>
    <mergeCell ref="A1:M1"/>
    <mergeCell ref="A2:M2"/>
    <mergeCell ref="B60:C60"/>
    <mergeCell ref="I18:J18"/>
    <mergeCell ref="K18:M18"/>
    <mergeCell ref="E20:F20"/>
    <mergeCell ref="I20:J20"/>
    <mergeCell ref="I21:J21"/>
    <mergeCell ref="K21:M21"/>
    <mergeCell ref="F43:G43"/>
    <mergeCell ref="F44:G44"/>
    <mergeCell ref="I34:K34"/>
    <mergeCell ref="I35:K35"/>
    <mergeCell ref="I36:M36"/>
    <mergeCell ref="A19:B19"/>
    <mergeCell ref="E19:F19"/>
    <mergeCell ref="A24:B24"/>
    <mergeCell ref="F52:G52"/>
    <mergeCell ref="F53:G53"/>
    <mergeCell ref="F48:G48"/>
    <mergeCell ref="B56:C56"/>
    <mergeCell ref="B45:C45"/>
    <mergeCell ref="B41:C41"/>
    <mergeCell ref="F30:G30"/>
    <mergeCell ref="F54:G54"/>
    <mergeCell ref="F50:G50"/>
    <mergeCell ref="J4:M4"/>
    <mergeCell ref="J5:M5"/>
    <mergeCell ref="A7:C7"/>
    <mergeCell ref="E7:G7"/>
    <mergeCell ref="A8:C8"/>
    <mergeCell ref="E8:G8"/>
    <mergeCell ref="A9:C9"/>
    <mergeCell ref="E9:G9"/>
    <mergeCell ref="K16:M16"/>
    <mergeCell ref="E24:F24"/>
    <mergeCell ref="F27:G27"/>
    <mergeCell ref="A12:C12"/>
    <mergeCell ref="A17:B17"/>
    <mergeCell ref="E17:F17"/>
    <mergeCell ref="I17:J17"/>
    <mergeCell ref="F35:G35"/>
    <mergeCell ref="F31:G33"/>
    <mergeCell ref="F34:G34"/>
    <mergeCell ref="K17:M17"/>
    <mergeCell ref="E12:G12"/>
    <mergeCell ref="I12:M12"/>
    <mergeCell ref="E22:F22"/>
    <mergeCell ref="B13:C13"/>
    <mergeCell ref="F13:G13"/>
    <mergeCell ref="B14:C14"/>
    <mergeCell ref="F14:G14"/>
    <mergeCell ref="E26:G26"/>
    <mergeCell ref="I26:M26"/>
    <mergeCell ref="I24:J24"/>
    <mergeCell ref="A21:B21"/>
    <mergeCell ref="A26:C26"/>
    <mergeCell ref="K19:M19"/>
    <mergeCell ref="F51:G51"/>
    <mergeCell ref="A10:C10"/>
    <mergeCell ref="A20:B20"/>
    <mergeCell ref="E10:G10"/>
    <mergeCell ref="A16:B16"/>
    <mergeCell ref="E16:F16"/>
    <mergeCell ref="I16:J16"/>
    <mergeCell ref="E21:F21"/>
    <mergeCell ref="A23:B23"/>
    <mergeCell ref="E23:F23"/>
    <mergeCell ref="I23:J23"/>
    <mergeCell ref="I19:J19"/>
    <mergeCell ref="A18:B18"/>
    <mergeCell ref="E18:F18"/>
    <mergeCell ref="F28:G28"/>
    <mergeCell ref="F49:G49"/>
    <mergeCell ref="F45:G45"/>
    <mergeCell ref="B36:C36"/>
    <mergeCell ref="B29:C29"/>
    <mergeCell ref="F47:G47"/>
    <mergeCell ref="F46:G46"/>
    <mergeCell ref="I28:K28"/>
    <mergeCell ref="F29:G29"/>
    <mergeCell ref="I22:J22"/>
    <mergeCell ref="I37:M41"/>
    <mergeCell ref="I42:M45"/>
    <mergeCell ref="B30:C35"/>
    <mergeCell ref="I32:K32"/>
    <mergeCell ref="B40:C40"/>
    <mergeCell ref="A22:B22"/>
    <mergeCell ref="B39:C39"/>
    <mergeCell ref="O18:S18"/>
    <mergeCell ref="O20:P20"/>
    <mergeCell ref="O19:Q19"/>
    <mergeCell ref="K20:M20"/>
    <mergeCell ref="R19:T19"/>
    <mergeCell ref="B27:C27"/>
    <mergeCell ref="B28:C28"/>
    <mergeCell ref="I29:K29"/>
    <mergeCell ref="I33:K33"/>
    <mergeCell ref="I30:K30"/>
    <mergeCell ref="I31:K31"/>
    <mergeCell ref="I27:K27"/>
    <mergeCell ref="K24:M24"/>
    <mergeCell ref="K23:M23"/>
    <mergeCell ref="K22:M22"/>
  </mergeCells>
  <pageMargins left="0" right="0" top="0" bottom="0" header="0" footer="0"/>
  <pageSetup paperSize="9" scale="57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2" workbookViewId="0">
      <selection activeCell="I11" sqref="I11"/>
    </sheetView>
  </sheetViews>
  <sheetFormatPr defaultColWidth="8.77734375" defaultRowHeight="14.4"/>
  <cols>
    <col min="1" max="1" width="14" customWidth="1"/>
  </cols>
  <sheetData>
    <row r="1" spans="1:9">
      <c r="A1" s="1">
        <f ca="1">TODAY()-1</f>
        <v>46281</v>
      </c>
      <c r="B1" s="40" t="s">
        <v>35</v>
      </c>
      <c r="C1" s="40"/>
      <c r="D1" s="40"/>
      <c r="E1" s="40" t="s">
        <v>36</v>
      </c>
      <c r="F1" s="40"/>
      <c r="G1" s="40"/>
    </row>
    <row r="2" spans="1:9" ht="75" customHeight="1">
      <c r="A2" s="29" t="str">
        <f>Лист1!G18</f>
        <v>-</v>
      </c>
      <c r="B2" s="3" t="s">
        <v>37</v>
      </c>
      <c r="C2" s="30" t="s">
        <v>41</v>
      </c>
      <c r="D2" s="4" t="s">
        <v>38</v>
      </c>
      <c r="E2" s="4" t="s">
        <v>37</v>
      </c>
      <c r="F2" s="30" t="s">
        <v>41</v>
      </c>
      <c r="G2" s="4" t="s">
        <v>38</v>
      </c>
      <c r="H2" s="5"/>
      <c r="I2" s="5" t="s">
        <v>39</v>
      </c>
    </row>
    <row r="3" spans="1:9">
      <c r="A3" s="2" t="s">
        <v>40</v>
      </c>
      <c r="B3" s="6">
        <f>SUM(B4:B34)</f>
        <v>82</v>
      </c>
      <c r="D3" s="7">
        <f>SUM(D4:D34)</f>
        <v>6</v>
      </c>
      <c r="E3" s="7">
        <f>SUM(E4:E34)</f>
        <v>72</v>
      </c>
      <c r="G3" s="7">
        <f>SUM(G4:G34)</f>
        <v>5</v>
      </c>
    </row>
    <row r="4" spans="1:9" ht="15.6">
      <c r="A4" s="8">
        <v>46143</v>
      </c>
      <c r="B4" s="9">
        <v>10</v>
      </c>
      <c r="D4" s="10"/>
      <c r="E4" s="10">
        <v>8</v>
      </c>
      <c r="G4" s="10"/>
      <c r="I4">
        <v>63</v>
      </c>
    </row>
    <row r="5" spans="1:9" ht="15.6">
      <c r="A5" s="8">
        <v>46144</v>
      </c>
      <c r="B5" s="9">
        <v>13</v>
      </c>
      <c r="D5" s="10">
        <v>1</v>
      </c>
      <c r="E5" s="10">
        <v>0</v>
      </c>
      <c r="G5" s="10">
        <v>4</v>
      </c>
      <c r="I5">
        <v>75</v>
      </c>
    </row>
    <row r="6" spans="1:9" ht="15.6">
      <c r="A6" s="8">
        <v>46145</v>
      </c>
      <c r="B6" s="9">
        <v>15</v>
      </c>
      <c r="D6" s="10">
        <v>5</v>
      </c>
      <c r="E6" s="10">
        <v>15</v>
      </c>
      <c r="G6" s="10">
        <v>1</v>
      </c>
      <c r="I6">
        <v>105</v>
      </c>
    </row>
    <row r="7" spans="1:9" ht="15.6">
      <c r="A7" s="8">
        <v>46146</v>
      </c>
      <c r="B7" s="9">
        <v>15</v>
      </c>
      <c r="D7" s="10"/>
      <c r="E7" s="10">
        <v>15</v>
      </c>
      <c r="G7" s="10"/>
      <c r="I7">
        <v>135</v>
      </c>
    </row>
    <row r="8" spans="1:9" ht="15.6">
      <c r="A8" s="8">
        <v>46147</v>
      </c>
      <c r="B8" s="9">
        <v>15</v>
      </c>
      <c r="D8" s="10"/>
      <c r="E8" s="10">
        <v>9</v>
      </c>
      <c r="G8" s="10"/>
      <c r="I8">
        <v>159</v>
      </c>
    </row>
    <row r="9" spans="1:9" ht="15.6">
      <c r="A9" s="8">
        <v>46148</v>
      </c>
      <c r="B9" s="9"/>
      <c r="D9" s="10"/>
      <c r="E9" s="10"/>
      <c r="G9" s="10"/>
      <c r="I9">
        <v>182</v>
      </c>
    </row>
    <row r="10" spans="1:9" ht="15.6">
      <c r="A10" s="8">
        <v>46149</v>
      </c>
      <c r="B10" s="9">
        <v>1</v>
      </c>
      <c r="D10" s="10"/>
      <c r="E10" s="10">
        <v>9</v>
      </c>
      <c r="G10" s="10"/>
      <c r="I10">
        <v>192</v>
      </c>
    </row>
    <row r="11" spans="1:9" ht="15.6">
      <c r="A11" s="8">
        <v>46150</v>
      </c>
      <c r="B11" s="9">
        <v>13</v>
      </c>
      <c r="D11" s="10"/>
      <c r="E11" s="10">
        <v>16</v>
      </c>
      <c r="G11" s="10"/>
      <c r="I11">
        <v>211</v>
      </c>
    </row>
    <row r="12" spans="1:9" ht="15.6">
      <c r="A12" s="8">
        <v>46151</v>
      </c>
      <c r="B12" s="9"/>
      <c r="D12" s="10"/>
      <c r="E12" s="10"/>
      <c r="G12" s="10"/>
    </row>
    <row r="13" spans="1:9" ht="15.6">
      <c r="A13" s="8">
        <v>46152</v>
      </c>
      <c r="B13" s="9"/>
      <c r="D13" s="10"/>
      <c r="E13" s="10"/>
      <c r="G13" s="10"/>
    </row>
    <row r="14" spans="1:9" ht="15.6">
      <c r="A14" s="8">
        <v>46153</v>
      </c>
      <c r="B14" s="9"/>
      <c r="D14" s="10"/>
      <c r="E14" s="10"/>
      <c r="G14" s="10"/>
    </row>
    <row r="15" spans="1:9" ht="15.6">
      <c r="A15" s="8">
        <v>46154</v>
      </c>
      <c r="B15" s="9"/>
      <c r="D15" s="10"/>
      <c r="E15" s="10"/>
      <c r="G15" s="10"/>
    </row>
    <row r="16" spans="1:9" ht="15.6">
      <c r="A16" s="8">
        <v>46155</v>
      </c>
      <c r="B16" s="9"/>
      <c r="C16" s="10"/>
      <c r="E16" s="10"/>
      <c r="G16" s="10"/>
    </row>
    <row r="17" spans="1:7" ht="15.6">
      <c r="A17" s="8">
        <v>46156</v>
      </c>
      <c r="B17" s="9"/>
      <c r="C17" s="10"/>
      <c r="E17" s="10"/>
      <c r="G17" s="10"/>
    </row>
    <row r="18" spans="1:7" ht="15.6">
      <c r="A18" s="8">
        <v>46157</v>
      </c>
      <c r="B18" s="9"/>
      <c r="C18" s="10"/>
      <c r="E18" s="10"/>
      <c r="F18" s="10"/>
    </row>
    <row r="19" spans="1:7" ht="15.6">
      <c r="A19" s="8">
        <v>46158</v>
      </c>
      <c r="B19" s="9"/>
      <c r="C19" s="10"/>
      <c r="E19" s="10"/>
      <c r="F19" s="10"/>
    </row>
    <row r="20" spans="1:7" ht="15.6">
      <c r="A20" s="8">
        <v>46159</v>
      </c>
      <c r="B20" s="9"/>
      <c r="C20" s="10"/>
      <c r="E20" s="10"/>
      <c r="F20" s="10"/>
    </row>
    <row r="21" spans="1:7" ht="15.6">
      <c r="A21" s="8">
        <v>46160</v>
      </c>
      <c r="B21" s="9"/>
      <c r="C21" s="10"/>
      <c r="E21" s="10"/>
      <c r="F21" s="10"/>
    </row>
    <row r="22" spans="1:7" ht="15.6">
      <c r="A22" s="8">
        <v>46161</v>
      </c>
      <c r="B22" s="9"/>
      <c r="C22" s="10"/>
      <c r="E22" s="10"/>
      <c r="F22" s="10"/>
    </row>
    <row r="23" spans="1:7" ht="15.6">
      <c r="A23" s="8">
        <v>46162</v>
      </c>
      <c r="B23" s="9"/>
      <c r="C23" s="10"/>
      <c r="E23" s="10"/>
      <c r="F23" s="10"/>
    </row>
    <row r="24" spans="1:7" ht="15.6">
      <c r="A24" s="8">
        <v>46163</v>
      </c>
      <c r="B24" s="9"/>
      <c r="C24" s="10"/>
      <c r="E24" s="10"/>
      <c r="F24" s="10"/>
    </row>
    <row r="25" spans="1:7" ht="15.6">
      <c r="A25" s="8">
        <v>46164</v>
      </c>
      <c r="B25" s="9"/>
      <c r="C25" s="10"/>
      <c r="E25" s="10"/>
      <c r="F25" s="10"/>
    </row>
    <row r="26" spans="1:7" ht="15.6">
      <c r="A26" s="8">
        <v>46165</v>
      </c>
      <c r="B26" s="9"/>
      <c r="C26" s="10"/>
      <c r="E26" s="10"/>
      <c r="F26" s="10"/>
    </row>
    <row r="27" spans="1:7" ht="15.6">
      <c r="A27" s="8">
        <v>46166</v>
      </c>
      <c r="B27" s="9"/>
      <c r="C27" s="10"/>
      <c r="E27" s="10"/>
      <c r="F27" s="10"/>
    </row>
    <row r="28" spans="1:7" ht="15.6">
      <c r="A28" s="8">
        <v>46167</v>
      </c>
      <c r="B28" s="9"/>
      <c r="C28" s="10"/>
      <c r="E28" s="10"/>
      <c r="F28" s="10"/>
    </row>
    <row r="29" spans="1:7" ht="15.6">
      <c r="A29" s="8">
        <v>46168</v>
      </c>
      <c r="B29" s="9"/>
      <c r="C29" s="10"/>
      <c r="E29" s="10"/>
      <c r="F29" s="10"/>
    </row>
    <row r="30" spans="1:7" ht="15.6">
      <c r="A30" s="8">
        <v>46169</v>
      </c>
      <c r="B30" s="9"/>
      <c r="C30" s="10"/>
      <c r="E30" s="10"/>
      <c r="F30" s="10"/>
    </row>
    <row r="31" spans="1:7" ht="15.6">
      <c r="A31" s="8">
        <v>46170</v>
      </c>
      <c r="B31" s="9"/>
      <c r="C31" s="10"/>
      <c r="E31" s="10"/>
      <c r="F31" s="10"/>
    </row>
    <row r="32" spans="1:7" ht="15.6">
      <c r="A32" s="8">
        <v>46171</v>
      </c>
      <c r="B32" s="9"/>
      <c r="C32" s="10"/>
      <c r="E32" s="10"/>
      <c r="F32" s="10"/>
    </row>
    <row r="33" spans="1:6" ht="15.6">
      <c r="A33" s="8">
        <v>46172</v>
      </c>
      <c r="B33" s="9"/>
      <c r="C33" s="10"/>
      <c r="E33" s="10"/>
      <c r="F33" s="10"/>
    </row>
    <row r="34" spans="1:6" ht="15.6">
      <c r="A34" s="8">
        <v>46173</v>
      </c>
      <c r="B34" s="9"/>
      <c r="C34" s="10"/>
      <c r="E34" s="10"/>
      <c r="F34" s="10"/>
    </row>
  </sheetData>
  <autoFilter ref="A1:F34"/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volod</dc:creator>
  <cp:lastModifiedBy>Владимир</cp:lastModifiedBy>
  <cp:lastPrinted>2026-09-16T23:04:00Z</cp:lastPrinted>
  <dcterms:created xsi:type="dcterms:W3CDTF">2026-03-20T11:18:00Z</dcterms:created>
  <dcterms:modified xsi:type="dcterms:W3CDTF">2026-09-16T23:52:36Z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BAEAF5D7ACBE4AFDAABF8AA0405D881F_13</vt:lpwstr>
  </property>
  <property fmtid="{D5CDD505-2E9C-101B-9397-08002B2CF9AE}" pid="3" name="KSOProductBuildVer">
    <vt:lpwstr>1049-12.2.0.23197</vt:lpwstr>
  </property>
</Properties>
</file>